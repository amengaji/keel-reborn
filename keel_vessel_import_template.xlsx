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8_{A8EA0D37-994B-43A7-9CBC-131640DEB7F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Vessels" sheetId="1" r:id="rId1"/>
    <sheet name="Reference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/>
  <c r="I3" i="1"/>
  <c r="J3" i="1"/>
  <c r="G4" i="1"/>
  <c r="H4" i="1"/>
  <c r="I4" i="1"/>
  <c r="J4" i="1"/>
  <c r="G5" i="1"/>
  <c r="H5" i="1"/>
  <c r="I5" i="1"/>
  <c r="J5" i="1"/>
  <c r="G6" i="1"/>
  <c r="H6" i="1"/>
  <c r="I6" i="1"/>
  <c r="J6" i="1"/>
  <c r="G7" i="1"/>
  <c r="H7" i="1"/>
  <c r="I7" i="1"/>
  <c r="J7" i="1"/>
  <c r="G8" i="1"/>
  <c r="H8" i="1"/>
  <c r="I8" i="1"/>
  <c r="J8" i="1"/>
  <c r="G9" i="1"/>
  <c r="H9" i="1"/>
  <c r="I9" i="1"/>
  <c r="J9" i="1"/>
  <c r="G10" i="1"/>
  <c r="H10" i="1"/>
  <c r="I10" i="1"/>
  <c r="J10" i="1"/>
  <c r="G11" i="1"/>
  <c r="H11" i="1"/>
  <c r="I11" i="1"/>
  <c r="J11" i="1"/>
  <c r="J2" i="1"/>
  <c r="I2" i="1"/>
  <c r="H2" i="1"/>
  <c r="G2" i="1"/>
  <c r="F2" i="1"/>
  <c r="F3" i="1"/>
  <c r="F4" i="1"/>
  <c r="F5" i="1"/>
  <c r="F6" i="1"/>
  <c r="F7" i="1"/>
  <c r="F8" i="1"/>
  <c r="F9" i="1"/>
  <c r="F10" i="1"/>
  <c r="F11" i="1"/>
</calcChain>
</file>

<file path=xl/sharedStrings.xml><?xml version="1.0" encoding="utf-8"?>
<sst xmlns="http://schemas.openxmlformats.org/spreadsheetml/2006/main" count="75" uniqueCount="53">
  <si>
    <t>Vessel Name</t>
  </si>
  <si>
    <t>IMO Number</t>
  </si>
  <si>
    <t>Flag</t>
  </si>
  <si>
    <t>Classification Society</t>
  </si>
  <si>
    <t>Vessel Type</t>
  </si>
  <si>
    <t>Master Email (Optional)</t>
  </si>
  <si>
    <t>CTO Deck Email (Optional)</t>
  </si>
  <si>
    <t>CTO Engine Email (Optional)</t>
  </si>
  <si>
    <t>CTO ETO Email (Optional)</t>
  </si>
  <si>
    <t>CTO Catering Email (Optional)</t>
  </si>
  <si>
    <t>ABS (American Bureau of Shipping)</t>
  </si>
  <si>
    <t>Oil Tanker</t>
  </si>
  <si>
    <t>BV (Bureau Veritas)</t>
  </si>
  <si>
    <t>Chemical Tanker</t>
  </si>
  <si>
    <t>CCS (China Classification Society)</t>
  </si>
  <si>
    <t>Gas Carrier (LNG/LPG)</t>
  </si>
  <si>
    <t>CRS (Croatian Register of Shipping)</t>
  </si>
  <si>
    <t>Bulk Carrier</t>
  </si>
  <si>
    <t>DNV (Det Norske Veritas)</t>
  </si>
  <si>
    <t>Container Ship</t>
  </si>
  <si>
    <t>IRS (Indian Register of Shipping)</t>
  </si>
  <si>
    <t>General Cargo</t>
  </si>
  <si>
    <t>KR (Korean Register)</t>
  </si>
  <si>
    <t>Ro-Ro / Car Carrier</t>
  </si>
  <si>
    <t>LR (Lloyd's Register)</t>
  </si>
  <si>
    <t>Offshore Support Vessel</t>
  </si>
  <si>
    <t>NK (Nippon Kaiji Kyokai)</t>
  </si>
  <si>
    <t>Passenger / Cruise</t>
  </si>
  <si>
    <t>PRS (Polski Rejestr Statków)</t>
  </si>
  <si>
    <t>Other</t>
  </si>
  <si>
    <t>RINA (Registro Italiano Navale)</t>
  </si>
  <si>
    <t>Anchor Handling Tug</t>
  </si>
  <si>
    <t>RS (Russian Maritime Register)</t>
  </si>
  <si>
    <t>Platform Support Vessel</t>
  </si>
  <si>
    <t>Ocean Pioneer</t>
  </si>
  <si>
    <t>Singapore</t>
  </si>
  <si>
    <t>Global Trader</t>
  </si>
  <si>
    <t>Panama</t>
  </si>
  <si>
    <t>Energy Star</t>
  </si>
  <si>
    <t>Marshall Islands</t>
  </si>
  <si>
    <t>Pacific Horizon</t>
  </si>
  <si>
    <t>Liberia</t>
  </si>
  <si>
    <t>Chemical Explorer</t>
  </si>
  <si>
    <t>Hong Kong</t>
  </si>
  <si>
    <t>Atlantic Bridge</t>
  </si>
  <si>
    <t>Auto Prestige</t>
  </si>
  <si>
    <t>Japan</t>
  </si>
  <si>
    <t>Deep Diver</t>
  </si>
  <si>
    <t>Norway</t>
  </si>
  <si>
    <t>India Victory</t>
  </si>
  <si>
    <t>India</t>
  </si>
  <si>
    <t>Nordic Spirit</t>
  </si>
  <si>
    <t>Bahamas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</si>
</sst>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194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topLeftCell="B1" workbookViewId="0">
      <selection activeCell="G14" sqref="G14"/>
    </sheetView>
  </sheetViews>
  <sheetFormatPr defaultRowHeight="15" x14ac:dyDescent="0.25"/>
  <cols>
    <col min="1" max="1" width="25" customWidth="1"/>
    <col min="2" max="2" width="15" customWidth="1"/>
    <col min="3" max="3" width="20" customWidth="1"/>
    <col min="4" max="4" width="40" customWidth="1"/>
    <col min="5" max="5" width="25" customWidth="1"/>
    <col min="6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34</v>
      </c>
      <c r="B2">
        <v>9123456</v>
      </c>
      <c r="C2" t="s">
        <v>35</v>
      </c>
      <c r="D2" t="s">
        <v>18</v>
      </c>
      <c r="E2" t="s">
        <v>11</v>
      </c>
      <c r="F2" t="str">
        <f>"master."&amp;LOWER(LEFT(A2,2)&amp;MID(A2,FIND(" ",A2,1)+1,2))&amp;"@keel.com"</f>
        <v>master.ocpi@keel.com</v>
      </c>
      <c r="G2" t="str">
        <f>"ctodeck."&amp;LOWER(LEFT(A2,2)&amp;MID(A2,FIND(" ",A2,1)+1,2))&amp;"@keel.com"</f>
        <v>ctodeck.ocpi@keel.com</v>
      </c>
      <c r="H2" t="str">
        <f>"ctoeng."&amp;LOWER(LEFT(A2,2)&amp;MID(A2,FIND(" ",A2,1)+1,2))&amp;"@keel.com"</f>
        <v>ctoeng.ocpi@keel.com</v>
      </c>
      <c r="I2" t="str">
        <f>"ctoeto."&amp;LOWER(LEFT(A2,2)&amp;MID(A2,FIND(" ",A2,1)+1,2))&amp;"@keel.com"</f>
        <v>ctoeto.ocpi@keel.com</v>
      </c>
      <c r="J2" t="str">
        <f>"ctocat."&amp;LOWER(LEFT(A2,2)&amp;MID(A2,FIND(" ",A2,1)+1,2))&amp;"@keel.com"</f>
        <v>ctocat.ocpi@keel.com</v>
      </c>
    </row>
    <row r="3" spans="1:10" x14ac:dyDescent="0.25">
      <c r="A3" t="s">
        <v>36</v>
      </c>
      <c r="B3">
        <v>9234567</v>
      </c>
      <c r="C3" t="s">
        <v>37</v>
      </c>
      <c r="D3" t="s">
        <v>26</v>
      </c>
      <c r="E3" t="s">
        <v>17</v>
      </c>
      <c r="F3" t="str">
        <f t="shared" ref="F3:F11" si="0">"master."&amp;LOWER(LEFT(A3,2)&amp;MID(A3,FIND(" ",A3,1)+1,2))&amp;"@keel.com"</f>
        <v>master.gltr@keel.com</v>
      </c>
      <c r="G3" t="str">
        <f t="shared" ref="G3:G11" si="1">"ctodeck."&amp;LOWER(LEFT(A3,2)&amp;MID(A3,FIND(" ",A3,1)+1,2))&amp;"@keel.com"</f>
        <v>ctodeck.gltr@keel.com</v>
      </c>
      <c r="H3" t="str">
        <f t="shared" ref="H3:H11" si="2">"ctoeng."&amp;LOWER(LEFT(A3,2)&amp;MID(A3,FIND(" ",A3,1)+1,2))&amp;"@keel.com"</f>
        <v>ctoeng.gltr@keel.com</v>
      </c>
      <c r="I3" t="str">
        <f t="shared" ref="I3:I11" si="3">"ctoeto."&amp;LOWER(LEFT(A3,2)&amp;MID(A3,FIND(" ",A3,1)+1,2))&amp;"@keel.com"</f>
        <v>ctoeto.gltr@keel.com</v>
      </c>
      <c r="J3" t="str">
        <f t="shared" ref="J3:J11" si="4">"ctocat."&amp;LOWER(LEFT(A3,2)&amp;MID(A3,FIND(" ",A3,1)+1,2))&amp;"@keel.com"</f>
        <v>ctocat.gltr@keel.com</v>
      </c>
    </row>
    <row r="4" spans="1:10" x14ac:dyDescent="0.25">
      <c r="A4" t="s">
        <v>38</v>
      </c>
      <c r="B4">
        <v>9345678</v>
      </c>
      <c r="C4" t="s">
        <v>39</v>
      </c>
      <c r="D4" t="s">
        <v>10</v>
      </c>
      <c r="E4" t="s">
        <v>15</v>
      </c>
      <c r="F4" t="str">
        <f t="shared" si="0"/>
        <v>master.enst@keel.com</v>
      </c>
      <c r="G4" t="str">
        <f t="shared" si="1"/>
        <v>ctodeck.enst@keel.com</v>
      </c>
      <c r="H4" t="str">
        <f t="shared" si="2"/>
        <v>ctoeng.enst@keel.com</v>
      </c>
      <c r="I4" t="str">
        <f t="shared" si="3"/>
        <v>ctoeto.enst@keel.com</v>
      </c>
      <c r="J4" t="str">
        <f t="shared" si="4"/>
        <v>ctocat.enst@keel.com</v>
      </c>
    </row>
    <row r="5" spans="1:10" x14ac:dyDescent="0.25">
      <c r="A5" t="s">
        <v>40</v>
      </c>
      <c r="B5">
        <v>9456789</v>
      </c>
      <c r="C5" t="s">
        <v>41</v>
      </c>
      <c r="D5" t="s">
        <v>24</v>
      </c>
      <c r="E5" t="s">
        <v>19</v>
      </c>
      <c r="F5" t="str">
        <f t="shared" si="0"/>
        <v>master.paho@keel.com</v>
      </c>
      <c r="G5" t="str">
        <f t="shared" si="1"/>
        <v>ctodeck.paho@keel.com</v>
      </c>
      <c r="H5" t="str">
        <f t="shared" si="2"/>
        <v>ctoeng.paho@keel.com</v>
      </c>
      <c r="I5" t="str">
        <f t="shared" si="3"/>
        <v>ctoeto.paho@keel.com</v>
      </c>
      <c r="J5" t="str">
        <f t="shared" si="4"/>
        <v>ctocat.paho@keel.com</v>
      </c>
    </row>
    <row r="6" spans="1:10" x14ac:dyDescent="0.25">
      <c r="A6" t="s">
        <v>42</v>
      </c>
      <c r="B6">
        <v>9567890</v>
      </c>
      <c r="C6" t="s">
        <v>43</v>
      </c>
      <c r="D6" t="s">
        <v>12</v>
      </c>
      <c r="E6" t="s">
        <v>13</v>
      </c>
      <c r="F6" t="str">
        <f t="shared" si="0"/>
        <v>master.chex@keel.com</v>
      </c>
      <c r="G6" t="str">
        <f t="shared" si="1"/>
        <v>ctodeck.chex@keel.com</v>
      </c>
      <c r="H6" t="str">
        <f t="shared" si="2"/>
        <v>ctoeng.chex@keel.com</v>
      </c>
      <c r="I6" t="str">
        <f t="shared" si="3"/>
        <v>ctoeto.chex@keel.com</v>
      </c>
      <c r="J6" t="str">
        <f t="shared" si="4"/>
        <v>ctocat.chex@keel.com</v>
      </c>
    </row>
    <row r="7" spans="1:10" x14ac:dyDescent="0.25">
      <c r="A7" t="s">
        <v>44</v>
      </c>
      <c r="B7">
        <v>9678901</v>
      </c>
      <c r="C7" t="s">
        <v>39</v>
      </c>
      <c r="D7" t="s">
        <v>18</v>
      </c>
      <c r="E7" t="s">
        <v>21</v>
      </c>
      <c r="F7" t="str">
        <f t="shared" si="0"/>
        <v>master.atbr@keel.com</v>
      </c>
      <c r="G7" t="str">
        <f t="shared" si="1"/>
        <v>ctodeck.atbr@keel.com</v>
      </c>
      <c r="H7" t="str">
        <f t="shared" si="2"/>
        <v>ctoeng.atbr@keel.com</v>
      </c>
      <c r="I7" t="str">
        <f t="shared" si="3"/>
        <v>ctoeto.atbr@keel.com</v>
      </c>
      <c r="J7" t="str">
        <f t="shared" si="4"/>
        <v>ctocat.atbr@keel.com</v>
      </c>
    </row>
    <row r="8" spans="1:10" x14ac:dyDescent="0.25">
      <c r="A8" t="s">
        <v>45</v>
      </c>
      <c r="B8">
        <v>9789012</v>
      </c>
      <c r="C8" t="s">
        <v>46</v>
      </c>
      <c r="D8" t="s">
        <v>26</v>
      </c>
      <c r="E8" t="s">
        <v>23</v>
      </c>
      <c r="F8" t="str">
        <f t="shared" si="0"/>
        <v>master.aupr@keel.com</v>
      </c>
      <c r="G8" t="str">
        <f t="shared" si="1"/>
        <v>ctodeck.aupr@keel.com</v>
      </c>
      <c r="H8" t="str">
        <f t="shared" si="2"/>
        <v>ctoeng.aupr@keel.com</v>
      </c>
      <c r="I8" t="str">
        <f t="shared" si="3"/>
        <v>ctoeto.aupr@keel.com</v>
      </c>
      <c r="J8" t="str">
        <f t="shared" si="4"/>
        <v>ctocat.aupr@keel.com</v>
      </c>
    </row>
    <row r="9" spans="1:10" x14ac:dyDescent="0.25">
      <c r="A9" t="s">
        <v>47</v>
      </c>
      <c r="B9">
        <v>9890123</v>
      </c>
      <c r="C9" t="s">
        <v>48</v>
      </c>
      <c r="D9" t="s">
        <v>18</v>
      </c>
      <c r="E9" t="s">
        <v>25</v>
      </c>
      <c r="F9" t="str">
        <f t="shared" si="0"/>
        <v>master.dedi@keel.com</v>
      </c>
      <c r="G9" t="str">
        <f t="shared" si="1"/>
        <v>ctodeck.dedi@keel.com</v>
      </c>
      <c r="H9" t="str">
        <f t="shared" si="2"/>
        <v>ctoeng.dedi@keel.com</v>
      </c>
      <c r="I9" t="str">
        <f t="shared" si="3"/>
        <v>ctoeto.dedi@keel.com</v>
      </c>
      <c r="J9" t="str">
        <f t="shared" si="4"/>
        <v>ctocat.dedi@keel.com</v>
      </c>
    </row>
    <row r="10" spans="1:10" x14ac:dyDescent="0.25">
      <c r="A10" t="s">
        <v>49</v>
      </c>
      <c r="B10">
        <v>9112233</v>
      </c>
      <c r="C10" t="s">
        <v>50</v>
      </c>
      <c r="D10" t="s">
        <v>20</v>
      </c>
      <c r="E10" t="s">
        <v>17</v>
      </c>
      <c r="F10" t="str">
        <f t="shared" si="0"/>
        <v>master.invi@keel.com</v>
      </c>
      <c r="G10" t="str">
        <f t="shared" si="1"/>
        <v>ctodeck.invi@keel.com</v>
      </c>
      <c r="H10" t="str">
        <f t="shared" si="2"/>
        <v>ctoeng.invi@keel.com</v>
      </c>
      <c r="I10" t="str">
        <f t="shared" si="3"/>
        <v>ctoeto.invi@keel.com</v>
      </c>
      <c r="J10" t="str">
        <f t="shared" si="4"/>
        <v>ctocat.invi@keel.com</v>
      </c>
    </row>
    <row r="11" spans="1:10" x14ac:dyDescent="0.25">
      <c r="A11" t="s">
        <v>51</v>
      </c>
      <c r="B11">
        <v>9223344</v>
      </c>
      <c r="C11" t="s">
        <v>52</v>
      </c>
      <c r="D11" t="s">
        <v>24</v>
      </c>
      <c r="E11" t="s">
        <v>11</v>
      </c>
      <c r="F11" t="str">
        <f t="shared" si="0"/>
        <v>master.nosp@keel.com</v>
      </c>
      <c r="G11" t="str">
        <f t="shared" si="1"/>
        <v>ctodeck.nosp@keel.com</v>
      </c>
      <c r="H11" t="str">
        <f t="shared" si="2"/>
        <v>ctoeng.nosp@keel.com</v>
      </c>
      <c r="I11" t="str">
        <f t="shared" si="3"/>
        <v>ctoeto.nosp@keel.com</v>
      </c>
      <c r="J11" t="str">
        <f t="shared" si="4"/>
        <v>ctocat.nosp@keel.com</v>
      </c>
    </row>
  </sheetData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Invalid Selection" error="Please select a valid Classification Society from the provided list." xr:uid="{00000000-0002-0000-0000-000000000000}">
          <x14:formula1>
            <xm:f>Reference!$A$1:$A$13</xm:f>
          </x14:formula1>
          <xm:sqref>D2:D1000</xm:sqref>
        </x14:dataValidation>
        <x14:dataValidation type="list" allowBlank="1" showErrorMessage="1" errorTitle="Invalid Selection" error="Please select a valid Vessel Type from the provided list." xr:uid="{00000000-0002-0000-0000-000002000000}">
          <x14:formula1>
            <xm:f>Reference!$B$1:$B$12</xm:f>
          </x14:formula1>
          <xm:sqref>E2:E1000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5" x14ac:dyDescent="0.25"/>
  <sheetData>
    <row r="1" spans="1:2" x14ac:dyDescent="0.25">
      <c r="A1" t="s">
        <v>10</v>
      </c>
      <c r="B1" t="s">
        <v>11</v>
      </c>
    </row>
    <row r="2" spans="1:2" x14ac:dyDescent="0.25">
      <c r="A2" t="s">
        <v>12</v>
      </c>
      <c r="B2" t="s">
        <v>13</v>
      </c>
    </row>
    <row r="3" spans="1:2" x14ac:dyDescent="0.25">
      <c r="A3" t="s">
        <v>14</v>
      </c>
      <c r="B3" t="s">
        <v>15</v>
      </c>
    </row>
    <row r="4" spans="1:2" x14ac:dyDescent="0.25">
      <c r="A4" t="s">
        <v>16</v>
      </c>
      <c r="B4" t="s">
        <v>17</v>
      </c>
    </row>
    <row r="5" spans="1:2" x14ac:dyDescent="0.25">
      <c r="A5" t="s">
        <v>18</v>
      </c>
      <c r="B5" t="s">
        <v>19</v>
      </c>
    </row>
    <row r="6" spans="1:2" x14ac:dyDescent="0.25">
      <c r="A6" t="s">
        <v>20</v>
      </c>
      <c r="B6" t="s">
        <v>21</v>
      </c>
    </row>
    <row r="7" spans="1:2" x14ac:dyDescent="0.25">
      <c r="A7" t="s">
        <v>22</v>
      </c>
      <c r="B7" t="s">
        <v>23</v>
      </c>
    </row>
    <row r="8" spans="1:2" x14ac:dyDescent="0.25">
      <c r="A8" t="s">
        <v>24</v>
      </c>
      <c r="B8" t="s">
        <v>25</v>
      </c>
    </row>
    <row r="9" spans="1:2" x14ac:dyDescent="0.25">
      <c r="A9" t="s">
        <v>26</v>
      </c>
      <c r="B9" t="s">
        <v>27</v>
      </c>
    </row>
    <row r="10" spans="1:2" x14ac:dyDescent="0.25">
      <c r="A10" t="s">
        <v>28</v>
      </c>
      <c r="B10" t="s">
        <v>29</v>
      </c>
    </row>
    <row r="11" spans="1:2" x14ac:dyDescent="0.25">
      <c r="A11" t="s">
        <v>30</v>
      </c>
      <c r="B11" t="s">
        <v>31</v>
      </c>
    </row>
    <row r="12" spans="1:2" x14ac:dyDescent="0.25">
      <c r="A12" t="s">
        <v>32</v>
      </c>
      <c r="B12" t="s">
        <v>33</v>
      </c>
    </row>
    <row r="13" spans="1:2" x14ac:dyDescent="0.25">
      <c r="A13" t="s">
        <v>29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Vessels</vt:lpstr>
      <vt:lpstr>Reference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2026-01-19T01:41:45Z</dcterms:created>
  <dcterms:modified xsi:type="dcterms:W3CDTF">2026-01-19T01:49:20Z</dcterms:modified>
  <cp:category/>
</cp:coreProperties>
</file>